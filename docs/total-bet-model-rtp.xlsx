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%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4" borderId="0" pivotButton="0" quotePrefix="0" xfId="0"/>
    <xf numFmtId="165" fontId="2" fillId="4" borderId="0" pivotButton="0" quotePrefix="0" xfId="0"/>
    <xf numFmtId="2" fontId="2" fillId="4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7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5" customWidth="1" min="8" max="8"/>
    <col width="10" customWidth="1" min="9" max="9"/>
    <col width="2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4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2">
      <c r="B2" s="1" t="inlineStr">
        <is>
          <t>Columns</t>
        </is>
      </c>
      <c r="C2" s="1" t="inlineStr">
        <is>
          <t>Rows</t>
        </is>
      </c>
      <c r="D2" s="1" t="inlineStr">
        <is>
          <t>Strip Len</t>
        </is>
      </c>
      <c r="E2" s="1" t="inlineStr">
        <is>
          <t>Paylines</t>
        </is>
      </c>
      <c r="F2" s="1" t="inlineStr">
        <is>
          <t>Total Combos</t>
        </is>
      </c>
    </row>
    <row r="3">
      <c r="B3" t="n">
        <v>5</v>
      </c>
      <c r="C3" t="n">
        <v>3</v>
      </c>
      <c r="D3" t="n">
        <v>32</v>
      </c>
      <c r="E3" t="n">
        <v>10</v>
      </c>
      <c r="F3" s="2">
        <f>D3^B3</f>
        <v/>
      </c>
    </row>
    <row r="5">
      <c r="B5" s="3" t="inlineStr">
        <is>
          <t>Symbol</t>
        </is>
      </c>
      <c r="C5" s="3" t="inlineStr">
        <is>
          <t>Reel 1</t>
        </is>
      </c>
      <c r="D5" s="3" t="inlineStr">
        <is>
          <t>Reel 2</t>
        </is>
      </c>
      <c r="E5" s="3" t="inlineStr">
        <is>
          <t>Reel 3</t>
        </is>
      </c>
      <c r="F5" s="3" t="inlineStr">
        <is>
          <t>Reel 4</t>
        </is>
      </c>
      <c r="G5" s="3" t="inlineStr">
        <is>
          <t>Reel 5</t>
        </is>
      </c>
      <c r="I5" s="3" t="inlineStr">
        <is>
          <t>Symbol</t>
        </is>
      </c>
      <c r="J5" s="3" t="inlineStr">
        <is>
          <t>Prob R1</t>
        </is>
      </c>
      <c r="K5" s="3" t="inlineStr">
        <is>
          <t>Prob R2</t>
        </is>
      </c>
      <c r="L5" s="3" t="inlineStr">
        <is>
          <t>Prob R3</t>
        </is>
      </c>
      <c r="M5" s="3" t="inlineStr">
        <is>
          <t>Prob R4</t>
        </is>
      </c>
      <c r="N5" s="3" t="inlineStr">
        <is>
          <t>Prob R5</t>
        </is>
      </c>
      <c r="O5" s="3" t="inlineStr">
        <is>
          <t>Prob 3</t>
        </is>
      </c>
      <c r="P5" s="3" t="inlineStr">
        <is>
          <t>Prob 4</t>
        </is>
      </c>
      <c r="Q5" s="3" t="inlineStr">
        <is>
          <t>Prob 5</t>
        </is>
      </c>
      <c r="R5" s="3" t="inlineStr">
        <is>
          <t>EV</t>
        </is>
      </c>
    </row>
    <row r="6">
      <c r="B6" s="1" t="inlineStr">
        <is>
          <t>J</t>
        </is>
      </c>
      <c r="C6" s="2">
        <f>COUNTIF(B$19:B$50,$B6)</f>
        <v/>
      </c>
      <c r="D6" s="2">
        <f>COUNTIF(C$19:C$50,$B6)</f>
        <v/>
      </c>
      <c r="E6" s="2">
        <f>COUNTIF(D$19:D$50,$B6)</f>
        <v/>
      </c>
      <c r="F6" s="2">
        <f>COUNTIF(E$19:E$50,$B6)</f>
        <v/>
      </c>
      <c r="G6" s="2">
        <f>COUNTIF(F$19:F$50,$B6)</f>
        <v/>
      </c>
      <c r="I6" s="1" t="inlineStr">
        <is>
          <t>J</t>
        </is>
      </c>
      <c r="J6" s="4">
        <f>(C6+C$13)/C$14</f>
        <v/>
      </c>
      <c r="K6" s="4">
        <f>(D6+D$13)/D$14</f>
        <v/>
      </c>
      <c r="L6" s="4">
        <f>(E6+E$13)/E$14</f>
        <v/>
      </c>
      <c r="M6" s="4">
        <f>(F6+F$13)/F$14</f>
        <v/>
      </c>
      <c r="N6" s="4">
        <f>(G6+G$13)/G$14</f>
        <v/>
      </c>
      <c r="O6" s="4">
        <f>(J6*K6*L6-J13*K13*L13)*(1-M6)</f>
        <v/>
      </c>
      <c r="P6" s="4">
        <f>(J6*K6*L6*M6-J13*K13*L13*M13)*(1-N6)</f>
        <v/>
      </c>
      <c r="Q6" s="4">
        <f>J6*K6*L6*M6*N6-J13*K13*L13*M13*N13</f>
        <v/>
      </c>
      <c r="R6" s="4">
        <f>P20*O6+Q20*P6+R20*Q6</f>
        <v/>
      </c>
    </row>
    <row r="7">
      <c r="B7" s="1" t="inlineStr">
        <is>
          <t>Q</t>
        </is>
      </c>
      <c r="C7" s="2">
        <f>COUNTIF(B$19:B$50,$B7)</f>
        <v/>
      </c>
      <c r="D7" s="2">
        <f>COUNTIF(C$19:C$50,$B7)</f>
        <v/>
      </c>
      <c r="E7" s="2">
        <f>COUNTIF(D$19:D$50,$B7)</f>
        <v/>
      </c>
      <c r="F7" s="2">
        <f>COUNTIF(E$19:E$50,$B7)</f>
        <v/>
      </c>
      <c r="G7" s="2">
        <f>COUNTIF(F$19:F$50,$B7)</f>
        <v/>
      </c>
      <c r="I7" s="1" t="inlineStr">
        <is>
          <t>Q</t>
        </is>
      </c>
      <c r="J7" s="4">
        <f>(C7+C$13)/C$14</f>
        <v/>
      </c>
      <c r="K7" s="4">
        <f>(D7+D$13)/D$14</f>
        <v/>
      </c>
      <c r="L7" s="4">
        <f>(E7+E$13)/E$14</f>
        <v/>
      </c>
      <c r="M7" s="4">
        <f>(F7+F$13)/F$14</f>
        <v/>
      </c>
      <c r="N7" s="4">
        <f>(G7+G$13)/G$14</f>
        <v/>
      </c>
      <c r="O7" s="4">
        <f>(J7*K7*L7-J13*K13*L13)*(1-M7)</f>
        <v/>
      </c>
      <c r="P7" s="4">
        <f>(J7*K7*L7*M7-J13*K13*L13*M13)*(1-N7)</f>
        <v/>
      </c>
      <c r="Q7" s="4">
        <f>J7*K7*L7*M7*N7-J13*K13*L13*M13*N13</f>
        <v/>
      </c>
      <c r="R7" s="4">
        <f>P21*O7+Q21*P7+R21*Q7</f>
        <v/>
      </c>
    </row>
    <row r="8">
      <c r="B8" s="1" t="inlineStr">
        <is>
          <t>K</t>
        </is>
      </c>
      <c r="C8" s="2">
        <f>COUNTIF(B$19:B$50,$B8)</f>
        <v/>
      </c>
      <c r="D8" s="2">
        <f>COUNTIF(C$19:C$50,$B8)</f>
        <v/>
      </c>
      <c r="E8" s="2">
        <f>COUNTIF(D$19:D$50,$B8)</f>
        <v/>
      </c>
      <c r="F8" s="2">
        <f>COUNTIF(E$19:E$50,$B8)</f>
        <v/>
      </c>
      <c r="G8" s="2">
        <f>COUNTIF(F$19:F$50,$B8)</f>
        <v/>
      </c>
      <c r="I8" s="1" t="inlineStr">
        <is>
          <t>K</t>
        </is>
      </c>
      <c r="J8" s="4">
        <f>(C8+C$13)/C$14</f>
        <v/>
      </c>
      <c r="K8" s="4">
        <f>(D8+D$13)/D$14</f>
        <v/>
      </c>
      <c r="L8" s="4">
        <f>(E8+E$13)/E$14</f>
        <v/>
      </c>
      <c r="M8" s="4">
        <f>(F8+F$13)/F$14</f>
        <v/>
      </c>
      <c r="N8" s="4">
        <f>(G8+G$13)/G$14</f>
        <v/>
      </c>
      <c r="O8" s="4">
        <f>(J8*K8*L8-J13*K13*L13)*(1-M8)</f>
        <v/>
      </c>
      <c r="P8" s="4">
        <f>(J8*K8*L8*M8-J13*K13*L13*M13)*(1-N8)</f>
        <v/>
      </c>
      <c r="Q8" s="4">
        <f>J8*K8*L8*M8*N8-J13*K13*L13*M13*N13</f>
        <v/>
      </c>
      <c r="R8" s="4">
        <f>P22*O8+Q22*P8+R22*Q8</f>
        <v/>
      </c>
    </row>
    <row r="9">
      <c r="B9" s="1" t="inlineStr">
        <is>
          <t>A</t>
        </is>
      </c>
      <c r="C9" s="2">
        <f>COUNTIF(B$19:B$50,$B9)</f>
        <v/>
      </c>
      <c r="D9" s="2">
        <f>COUNTIF(C$19:C$50,$B9)</f>
        <v/>
      </c>
      <c r="E9" s="2">
        <f>COUNTIF(D$19:D$50,$B9)</f>
        <v/>
      </c>
      <c r="F9" s="2">
        <f>COUNTIF(E$19:E$50,$B9)</f>
        <v/>
      </c>
      <c r="G9" s="2">
        <f>COUNTIF(F$19:F$50,$B9)</f>
        <v/>
      </c>
      <c r="I9" s="1" t="inlineStr">
        <is>
          <t>A</t>
        </is>
      </c>
      <c r="J9" s="4">
        <f>(C9+C$13)/C$14</f>
        <v/>
      </c>
      <c r="K9" s="4">
        <f>(D9+D$13)/D$14</f>
        <v/>
      </c>
      <c r="L9" s="4">
        <f>(E9+E$13)/E$14</f>
        <v/>
      </c>
      <c r="M9" s="4">
        <f>(F9+F$13)/F$14</f>
        <v/>
      </c>
      <c r="N9" s="4">
        <f>(G9+G$13)/G$14</f>
        <v/>
      </c>
      <c r="O9" s="4">
        <f>(J9*K9*L9-J13*K13*L13)*(1-M9)</f>
        <v/>
      </c>
      <c r="P9" s="4">
        <f>(J9*K9*L9*M9-J13*K13*L13*M13)*(1-N9)</f>
        <v/>
      </c>
      <c r="Q9" s="4">
        <f>J9*K9*L9*M9*N9-J13*K13*L13*M13*N13</f>
        <v/>
      </c>
      <c r="R9" s="4">
        <f>P23*O9+Q23*P9+R23*Q9</f>
        <v/>
      </c>
    </row>
    <row r="10">
      <c r="B10" s="1" t="inlineStr">
        <is>
          <t>Wolf</t>
        </is>
      </c>
      <c r="C10" s="2">
        <f>COUNTIF(B$19:B$50,$B10)</f>
        <v/>
      </c>
      <c r="D10" s="2">
        <f>COUNTIF(C$19:C$50,$B10)</f>
        <v/>
      </c>
      <c r="E10" s="2">
        <f>COUNTIF(D$19:D$50,$B10)</f>
        <v/>
      </c>
      <c r="F10" s="2">
        <f>COUNTIF(E$19:E$50,$B10)</f>
        <v/>
      </c>
      <c r="G10" s="2">
        <f>COUNTIF(F$19:F$50,$B10)</f>
        <v/>
      </c>
      <c r="I10" s="1" t="inlineStr">
        <is>
          <t>Wolf</t>
        </is>
      </c>
      <c r="J10" s="4">
        <f>(C10+C$13)/C$14</f>
        <v/>
      </c>
      <c r="K10" s="4">
        <f>(D10+D$13)/D$14</f>
        <v/>
      </c>
      <c r="L10" s="4">
        <f>(E10+E$13)/E$14</f>
        <v/>
      </c>
      <c r="M10" s="4">
        <f>(F10+F$13)/F$14</f>
        <v/>
      </c>
      <c r="N10" s="4">
        <f>(G10+G$13)/G$14</f>
        <v/>
      </c>
      <c r="O10" s="4">
        <f>(J10*K10*L10-J13*K13*L13)*(1-M10)</f>
        <v/>
      </c>
      <c r="P10" s="4">
        <f>(J10*K10*L10*M10-J13*K13*L13*M13)*(1-N10)</f>
        <v/>
      </c>
      <c r="Q10" s="4">
        <f>J10*K10*L10*M10*N10-J13*K13*L13*M13*N13</f>
        <v/>
      </c>
      <c r="R10" s="4">
        <f>P24*O10+Q24*P10+R24*Q10</f>
        <v/>
      </c>
    </row>
    <row r="11">
      <c r="B11" s="1" t="inlineStr">
        <is>
          <t>Queen</t>
        </is>
      </c>
      <c r="C11" s="2">
        <f>COUNTIF(B$19:B$50,$B11)</f>
        <v/>
      </c>
      <c r="D11" s="2">
        <f>COUNTIF(C$19:C$50,$B11)</f>
        <v/>
      </c>
      <c r="E11" s="2">
        <f>COUNTIF(D$19:D$50,$B11)</f>
        <v/>
      </c>
      <c r="F11" s="2">
        <f>COUNTIF(E$19:E$50,$B11)</f>
        <v/>
      </c>
      <c r="G11" s="2">
        <f>COUNTIF(F$19:F$50,$B11)</f>
        <v/>
      </c>
      <c r="I11" s="1" t="inlineStr">
        <is>
          <t>Queen</t>
        </is>
      </c>
      <c r="J11" s="4">
        <f>(C11+C$13)/C$14</f>
        <v/>
      </c>
      <c r="K11" s="4">
        <f>(D11+D$13)/D$14</f>
        <v/>
      </c>
      <c r="L11" s="4">
        <f>(E11+E$13)/E$14</f>
        <v/>
      </c>
      <c r="M11" s="4">
        <f>(F11+F$13)/F$14</f>
        <v/>
      </c>
      <c r="N11" s="4">
        <f>(G11+G$13)/G$14</f>
        <v/>
      </c>
      <c r="O11" s="4">
        <f>(J11*K11*L11-J13*K13*L13)*(1-M11)</f>
        <v/>
      </c>
      <c r="P11" s="4">
        <f>(J11*K11*L11*M11-J13*K13*L13*M13)*(1-N11)</f>
        <v/>
      </c>
      <c r="Q11" s="4">
        <f>J11*K11*L11*M11*N11-J13*K13*L13*M13*N13</f>
        <v/>
      </c>
      <c r="R11" s="4">
        <f>P25*O11+Q25*P11+R25*Q11</f>
        <v/>
      </c>
    </row>
    <row r="12">
      <c r="B12" s="1" t="inlineStr">
        <is>
          <t>King</t>
        </is>
      </c>
      <c r="C12" s="2">
        <f>COUNTIF(B$19:B$50,$B12)</f>
        <v/>
      </c>
      <c r="D12" s="2">
        <f>COUNTIF(C$19:C$50,$B12)</f>
        <v/>
      </c>
      <c r="E12" s="2">
        <f>COUNTIF(D$19:D$50,$B12)</f>
        <v/>
      </c>
      <c r="F12" s="2">
        <f>COUNTIF(E$19:E$50,$B12)</f>
        <v/>
      </c>
      <c r="G12" s="2">
        <f>COUNTIF(F$19:F$50,$B12)</f>
        <v/>
      </c>
      <c r="I12" s="1" t="inlineStr">
        <is>
          <t>King</t>
        </is>
      </c>
      <c r="J12" s="4">
        <f>(C12+C$13)/C$14</f>
        <v/>
      </c>
      <c r="K12" s="4">
        <f>(D12+D$13)/D$14</f>
        <v/>
      </c>
      <c r="L12" s="4">
        <f>(E12+E$13)/E$14</f>
        <v/>
      </c>
      <c r="M12" s="4">
        <f>(F12+F$13)/F$14</f>
        <v/>
      </c>
      <c r="N12" s="4">
        <f>(G12+G$13)/G$14</f>
        <v/>
      </c>
      <c r="O12" s="4">
        <f>(J12*K12*L12-J13*K13*L13)*(1-M12)</f>
        <v/>
      </c>
      <c r="P12" s="4">
        <f>(J12*K12*L12*M12-J13*K13*L13*M13)*(1-N12)</f>
        <v/>
      </c>
      <c r="Q12" s="4">
        <f>J12*K12*L12*M12*N12-J13*K13*L13*M13*N13</f>
        <v/>
      </c>
      <c r="R12" s="4">
        <f>P26*O12+Q26*P12+R26*Q12</f>
        <v/>
      </c>
    </row>
    <row r="13">
      <c r="B13" s="1" t="inlineStr">
        <is>
          <t>Wild</t>
        </is>
      </c>
      <c r="C13" s="2">
        <f>COUNTIF(B$19:B$50,$B13)</f>
        <v/>
      </c>
      <c r="D13" s="2">
        <f>COUNTIF(C$19:C$50,$B13)</f>
        <v/>
      </c>
      <c r="E13" s="2">
        <f>COUNTIF(D$19:D$50,$B13)</f>
        <v/>
      </c>
      <c r="F13" s="2">
        <f>COUNTIF(E$19:E$50,$B13)</f>
        <v/>
      </c>
      <c r="G13" s="2">
        <f>COUNTIF(F$19:F$50,$B13)</f>
        <v/>
      </c>
      <c r="I13" s="1" t="inlineStr">
        <is>
          <t>Wild</t>
        </is>
      </c>
      <c r="J13" s="4">
        <f>C13/C$14</f>
        <v/>
      </c>
      <c r="K13" s="4">
        <f>D13/D$14</f>
        <v/>
      </c>
      <c r="L13" s="4">
        <f>E13/E$14</f>
        <v/>
      </c>
      <c r="M13" s="4">
        <f>F13/F$14</f>
        <v/>
      </c>
      <c r="N13" s="4">
        <f>G13/G$14</f>
        <v/>
      </c>
      <c r="O13" s="4" t="n">
        <v>0</v>
      </c>
      <c r="P13" s="4" t="n">
        <v>0</v>
      </c>
      <c r="Q13" s="4">
        <f>J13*K13*L13*M13*N13</f>
        <v/>
      </c>
      <c r="R13" s="4">
        <f>P27*O13+Q27*P13+R27*Q13</f>
        <v/>
      </c>
    </row>
    <row r="14">
      <c r="B14" s="1" t="inlineStr">
        <is>
          <t>Total</t>
        </is>
      </c>
      <c r="C14" s="2">
        <f>SUM(C6:C13)</f>
        <v/>
      </c>
      <c r="D14" s="2">
        <f>SUM(D6:D13)</f>
        <v/>
      </c>
      <c r="E14" s="2">
        <f>SUM(E6:E13)</f>
        <v/>
      </c>
      <c r="F14" s="2">
        <f>SUM(F6:F13)</f>
        <v/>
      </c>
      <c r="G14" s="2">
        <f>SUM(G6:G13)</f>
        <v/>
      </c>
    </row>
    <row r="15">
      <c r="I15" s="1" t="inlineStr">
        <is>
          <t>Wild visible/reel</t>
        </is>
      </c>
      <c r="J15" s="4">
        <f>C13*$C$3/C$14</f>
        <v/>
      </c>
      <c r="K15" s="4">
        <f>D13*$C$3/D$14</f>
        <v/>
      </c>
      <c r="L15" s="4">
        <f>E13*$C$3/E$14</f>
        <v/>
      </c>
      <c r="M15" s="4">
        <f>F13*$C$3/F$14</f>
        <v/>
      </c>
      <c r="N15" s="4">
        <f>G13*$C$3/G$14</f>
        <v/>
      </c>
      <c r="O15" s="1" t="inlineStr">
        <is>
          <t>P(3W grid)</t>
        </is>
      </c>
      <c r="P15" s="1" t="inlineStr">
        <is>
          <t>P(4W grid)</t>
        </is>
      </c>
      <c r="Q15" s="1" t="inlineStr">
        <is>
          <t>P(5W grid)</t>
        </is>
      </c>
    </row>
    <row r="16">
      <c r="O16" s="4">
        <f>COMBIN($B$3,3)*$J$15^3*(1-$J$15)^($B$3-3)</f>
        <v/>
      </c>
      <c r="P16" s="4">
        <f>COMBIN($B$3,4)*$J$15^4*(1-$J$15)^($B$3-4)</f>
        <v/>
      </c>
      <c r="Q16" s="4">
        <f>COMBIN($B$3,5)*$J$15^5*(1-$J$15)^($B$3-5)</f>
        <v/>
      </c>
    </row>
    <row r="18">
      <c r="B18" s="3" t="inlineStr">
        <is>
          <t>Strip 1</t>
        </is>
      </c>
      <c r="C18" s="3" t="inlineStr">
        <is>
          <t>Strip 2</t>
        </is>
      </c>
      <c r="D18" s="3" t="inlineStr">
        <is>
          <t>Strip 3</t>
        </is>
      </c>
      <c r="E18" s="3" t="inlineStr">
        <is>
          <t>Strip 4</t>
        </is>
      </c>
      <c r="F18" s="3" t="inlineStr">
        <is>
          <t>Strip 5</t>
        </is>
      </c>
      <c r="H18" s="3" t="inlineStr">
        <is>
          <t>Line ID</t>
        </is>
      </c>
      <c r="I18" s="3" t="inlineStr">
        <is>
          <t>Reel 1</t>
        </is>
      </c>
      <c r="J18" s="3" t="inlineStr">
        <is>
          <t>Reel 2</t>
        </is>
      </c>
      <c r="K18" s="3" t="inlineStr">
        <is>
          <t>Reel 3</t>
        </is>
      </c>
      <c r="L18" s="3" t="inlineStr">
        <is>
          <t>Reel 4</t>
        </is>
      </c>
      <c r="M18" s="3" t="inlineStr">
        <is>
          <t>Reel 5</t>
        </is>
      </c>
    </row>
    <row r="19">
      <c r="B19" t="inlineStr">
        <is>
          <t>J</t>
        </is>
      </c>
      <c r="C19" t="inlineStr">
        <is>
          <t>A</t>
        </is>
      </c>
      <c r="D19" s="5" t="inlineStr">
        <is>
          <t>Wild</t>
        </is>
      </c>
      <c r="E19" t="inlineStr">
        <is>
          <t>K</t>
        </is>
      </c>
      <c r="F19" t="inlineStr">
        <is>
          <t>K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O19" s="3" t="inlineStr">
        <is>
          <t>Symbol</t>
        </is>
      </c>
      <c r="P19" s="3" t="inlineStr">
        <is>
          <t>Pay 3</t>
        </is>
      </c>
      <c r="Q19" s="3" t="inlineStr">
        <is>
          <t>Pay 4</t>
        </is>
      </c>
      <c r="R19" s="3" t="inlineStr">
        <is>
          <t>Pay 5</t>
        </is>
      </c>
    </row>
    <row r="20">
      <c r="B20" s="5" t="inlineStr">
        <is>
          <t>Wild</t>
        </is>
      </c>
      <c r="C20" t="inlineStr">
        <is>
          <t>J</t>
        </is>
      </c>
      <c r="D20" t="inlineStr">
        <is>
          <t>J</t>
        </is>
      </c>
      <c r="E20" t="inlineStr">
        <is>
          <t>J</t>
        </is>
      </c>
      <c r="F20" t="inlineStr">
        <is>
          <t>Q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s="1" t="inlineStr">
        <is>
          <t>J</t>
        </is>
      </c>
      <c r="P20" s="6" t="n">
        <v>0.14</v>
      </c>
      <c r="Q20" s="6" t="n">
        <v>0.57</v>
      </c>
      <c r="R20" s="6" t="n">
        <v>2.85</v>
      </c>
    </row>
    <row r="21">
      <c r="B21" t="inlineStr">
        <is>
          <t>Q</t>
        </is>
      </c>
      <c r="C21" t="inlineStr">
        <is>
          <t>King</t>
        </is>
      </c>
      <c r="D21" t="inlineStr">
        <is>
          <t>King</t>
        </is>
      </c>
      <c r="E21" t="inlineStr">
        <is>
          <t>Wolf</t>
        </is>
      </c>
      <c r="F21" t="inlineStr">
        <is>
          <t>K</t>
        </is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O21" s="1" t="inlineStr">
        <is>
          <t>Q</t>
        </is>
      </c>
      <c r="P21" s="6" t="n">
        <v>0.23</v>
      </c>
      <c r="Q21" s="6" t="n">
        <v>0.86</v>
      </c>
      <c r="R21" s="6" t="n">
        <v>4.56</v>
      </c>
    </row>
    <row r="22">
      <c r="B22" t="inlineStr">
        <is>
          <t>King</t>
        </is>
      </c>
      <c r="C22" s="5" t="inlineStr">
        <is>
          <t>Wild</t>
        </is>
      </c>
      <c r="D22" t="inlineStr">
        <is>
          <t>J</t>
        </is>
      </c>
      <c r="E22" t="inlineStr">
        <is>
          <t>A</t>
        </is>
      </c>
      <c r="F22" t="inlineStr">
        <is>
          <t>Q</t>
        </is>
      </c>
      <c r="H22" t="n">
        <v>3</v>
      </c>
      <c r="I22" t="n">
        <v>0</v>
      </c>
      <c r="J22" t="n">
        <v>1</v>
      </c>
      <c r="K22" t="n">
        <v>2</v>
      </c>
      <c r="L22" t="n">
        <v>1</v>
      </c>
      <c r="M22" t="n">
        <v>0</v>
      </c>
      <c r="O22" s="1" t="inlineStr">
        <is>
          <t>K</t>
        </is>
      </c>
      <c r="P22" s="6" t="n">
        <v>0.29</v>
      </c>
      <c r="Q22" s="6" t="n">
        <v>1.14</v>
      </c>
      <c r="R22" s="6" t="n">
        <v>7.13</v>
      </c>
    </row>
    <row r="23">
      <c r="B23" t="inlineStr">
        <is>
          <t>J</t>
        </is>
      </c>
      <c r="C23" t="inlineStr">
        <is>
          <t>A</t>
        </is>
      </c>
      <c r="D23" t="inlineStr">
        <is>
          <t>K</t>
        </is>
      </c>
      <c r="E23" t="inlineStr">
        <is>
          <t>Q</t>
        </is>
      </c>
      <c r="F23" t="inlineStr">
        <is>
          <t>Wolf</t>
        </is>
      </c>
      <c r="H23" t="n">
        <v>4</v>
      </c>
      <c r="I23" t="n">
        <v>2</v>
      </c>
      <c r="J23" t="n">
        <v>1</v>
      </c>
      <c r="K23" t="n">
        <v>0</v>
      </c>
      <c r="L23" t="n">
        <v>1</v>
      </c>
      <c r="M23" t="n">
        <v>2</v>
      </c>
      <c r="O23" s="1" t="inlineStr">
        <is>
          <t>A</t>
        </is>
      </c>
      <c r="P23" s="6" t="n">
        <v>0.43</v>
      </c>
      <c r="Q23" s="6" t="n">
        <v>1.57</v>
      </c>
      <c r="R23" s="6" t="n">
        <v>11.4</v>
      </c>
    </row>
    <row r="24">
      <c r="B24" t="inlineStr">
        <is>
          <t>K</t>
        </is>
      </c>
      <c r="C24" t="inlineStr">
        <is>
          <t>Q</t>
        </is>
      </c>
      <c r="D24" t="inlineStr">
        <is>
          <t>A</t>
        </is>
      </c>
      <c r="E24" t="inlineStr">
        <is>
          <t>Wolf</t>
        </is>
      </c>
      <c r="F24" t="inlineStr">
        <is>
          <t>J</t>
        </is>
      </c>
      <c r="H24" t="n">
        <v>5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O24" s="1" t="inlineStr">
        <is>
          <t>Wolf</t>
        </is>
      </c>
      <c r="P24" s="6" t="n">
        <v>0.71</v>
      </c>
      <c r="Q24" s="6" t="n">
        <v>2.85</v>
      </c>
      <c r="R24" s="6" t="n">
        <v>18.53</v>
      </c>
    </row>
    <row r="25">
      <c r="B25" t="inlineStr">
        <is>
          <t>A</t>
        </is>
      </c>
      <c r="C25" t="inlineStr">
        <is>
          <t>J</t>
        </is>
      </c>
      <c r="D25" t="inlineStr">
        <is>
          <t>J</t>
        </is>
      </c>
      <c r="E25" t="inlineStr">
        <is>
          <t>A</t>
        </is>
      </c>
      <c r="F25" t="inlineStr">
        <is>
          <t>Queen</t>
        </is>
      </c>
      <c r="H25" t="n">
        <v>6</v>
      </c>
      <c r="I25" t="n">
        <v>2</v>
      </c>
      <c r="J25" t="n">
        <v>2</v>
      </c>
      <c r="K25" t="n">
        <v>1</v>
      </c>
      <c r="L25" t="n">
        <v>2</v>
      </c>
      <c r="M25" t="n">
        <v>2</v>
      </c>
      <c r="O25" s="1" t="inlineStr">
        <is>
          <t>Queen</t>
        </is>
      </c>
      <c r="P25" s="6" t="n">
        <v>1.14</v>
      </c>
      <c r="Q25" s="6" t="n">
        <v>4.28</v>
      </c>
      <c r="R25" s="6" t="n">
        <v>28.51</v>
      </c>
    </row>
    <row r="26">
      <c r="B26" t="inlineStr">
        <is>
          <t>King</t>
        </is>
      </c>
      <c r="C26" t="inlineStr">
        <is>
          <t>Q</t>
        </is>
      </c>
      <c r="D26" t="inlineStr">
        <is>
          <t>Wolf</t>
        </is>
      </c>
      <c r="E26" t="inlineStr">
        <is>
          <t>Q</t>
        </is>
      </c>
      <c r="F26" t="inlineStr">
        <is>
          <t>Wolf</t>
        </is>
      </c>
      <c r="H26" t="n">
        <v>7</v>
      </c>
      <c r="I26" t="n">
        <v>1</v>
      </c>
      <c r="J26" t="n">
        <v>2</v>
      </c>
      <c r="K26" t="n">
        <v>2</v>
      </c>
      <c r="L26" t="n">
        <v>2</v>
      </c>
      <c r="M26" t="n">
        <v>1</v>
      </c>
      <c r="O26" s="1" t="inlineStr">
        <is>
          <t>King</t>
        </is>
      </c>
      <c r="P26" s="6" t="n">
        <v>1.71</v>
      </c>
      <c r="Q26" s="6" t="n">
        <v>6.41</v>
      </c>
      <c r="R26" s="6" t="n">
        <v>42.76</v>
      </c>
    </row>
    <row r="27">
      <c r="B27" t="inlineStr">
        <is>
          <t>Queen</t>
        </is>
      </c>
      <c r="C27" t="inlineStr">
        <is>
          <t>K</t>
        </is>
      </c>
      <c r="D27" t="inlineStr">
        <is>
          <t>Queen</t>
        </is>
      </c>
      <c r="E27" t="inlineStr">
        <is>
          <t>Wolf</t>
        </is>
      </c>
      <c r="F27" t="inlineStr">
        <is>
          <t>K</t>
        </is>
      </c>
      <c r="H27" t="n">
        <v>8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O27" s="1" t="inlineStr">
        <is>
          <t>Wild</t>
        </is>
      </c>
      <c r="P27" s="6" t="n">
        <v>2.85</v>
      </c>
      <c r="Q27" s="6" t="n">
        <v>9.98</v>
      </c>
      <c r="R27" s="6" t="n">
        <v>71.27</v>
      </c>
    </row>
    <row r="28">
      <c r="B28" t="inlineStr">
        <is>
          <t>K</t>
        </is>
      </c>
      <c r="C28" t="inlineStr">
        <is>
          <t>A</t>
        </is>
      </c>
      <c r="D28" t="inlineStr">
        <is>
          <t>Wolf</t>
        </is>
      </c>
      <c r="E28" t="inlineStr">
        <is>
          <t>Q</t>
        </is>
      </c>
      <c r="F28" t="inlineStr">
        <is>
          <t>Wolf</t>
        </is>
      </c>
      <c r="H28" t="n">
        <v>9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</row>
    <row r="29">
      <c r="B29" t="inlineStr">
        <is>
          <t>A</t>
        </is>
      </c>
      <c r="C29" t="inlineStr">
        <is>
          <t>K</t>
        </is>
      </c>
      <c r="D29" t="inlineStr">
        <is>
          <t>A</t>
        </is>
      </c>
      <c r="E29" t="inlineStr">
        <is>
          <t>King</t>
        </is>
      </c>
      <c r="F29" t="inlineStr">
        <is>
          <t>J</t>
        </is>
      </c>
    </row>
    <row r="30">
      <c r="B30" t="inlineStr">
        <is>
          <t>Wolf</t>
        </is>
      </c>
      <c r="C30" t="inlineStr">
        <is>
          <t>Queen</t>
        </is>
      </c>
      <c r="D30" t="inlineStr">
        <is>
          <t>Wolf</t>
        </is>
      </c>
      <c r="E30" t="inlineStr">
        <is>
          <t>J</t>
        </is>
      </c>
      <c r="F30" t="inlineStr">
        <is>
          <t>Queen</t>
        </is>
      </c>
      <c r="O30" s="3" t="inlineStr"/>
      <c r="P30" s="3" t="inlineStr">
        <is>
          <t>RTP</t>
        </is>
      </c>
      <c r="Q30" s="3" t="inlineStr">
        <is>
          <t>RTP %</t>
        </is>
      </c>
    </row>
    <row r="31">
      <c r="B31" t="inlineStr">
        <is>
          <t>Q</t>
        </is>
      </c>
      <c r="C31" t="inlineStr">
        <is>
          <t>Wolf</t>
        </is>
      </c>
      <c r="D31" t="inlineStr">
        <is>
          <t>Q</t>
        </is>
      </c>
      <c r="E31" t="inlineStr">
        <is>
          <t>K</t>
        </is>
      </c>
      <c r="F31" t="inlineStr">
        <is>
          <t>J</t>
        </is>
      </c>
      <c r="O31" s="1" t="inlineStr">
        <is>
          <t>Base</t>
        </is>
      </c>
      <c r="P31" s="7">
        <f>SUM(R6:R13)*$E$3</f>
        <v/>
      </c>
      <c r="Q31" s="6">
        <f>P31*100</f>
        <v/>
      </c>
    </row>
    <row r="32">
      <c r="B32" t="inlineStr">
        <is>
          <t>Queen</t>
        </is>
      </c>
      <c r="C32" t="inlineStr">
        <is>
          <t>K</t>
        </is>
      </c>
      <c r="D32" t="inlineStr">
        <is>
          <t>J</t>
        </is>
      </c>
      <c r="E32" t="inlineStr">
        <is>
          <t>J</t>
        </is>
      </c>
      <c r="F32" t="inlineStr">
        <is>
          <t>A</t>
        </is>
      </c>
      <c r="O32" s="1" t="inlineStr">
        <is>
          <t>Wild Pay</t>
        </is>
      </c>
      <c r="P32" s="7">
        <f>L49</f>
        <v/>
      </c>
      <c r="Q32" s="6">
        <f>P32*100</f>
        <v/>
      </c>
    </row>
    <row r="33">
      <c r="B33" t="inlineStr">
        <is>
          <t>Q</t>
        </is>
      </c>
      <c r="C33" t="inlineStr">
        <is>
          <t>King</t>
        </is>
      </c>
      <c r="D33" t="inlineStr">
        <is>
          <t>Queen</t>
        </is>
      </c>
      <c r="E33" t="inlineStr">
        <is>
          <t>King</t>
        </is>
      </c>
      <c r="F33" t="inlineStr">
        <is>
          <t>Q</t>
        </is>
      </c>
      <c r="O33" s="1" t="inlineStr">
        <is>
          <t>Bonus</t>
        </is>
      </c>
      <c r="P33" s="7">
        <f>O56</f>
        <v/>
      </c>
      <c r="Q33" s="6">
        <f>P33*100</f>
        <v/>
      </c>
    </row>
    <row r="34">
      <c r="B34" t="inlineStr">
        <is>
          <t>King</t>
        </is>
      </c>
      <c r="C34" t="inlineStr">
        <is>
          <t>J</t>
        </is>
      </c>
      <c r="D34" t="inlineStr">
        <is>
          <t>K</t>
        </is>
      </c>
      <c r="E34" t="inlineStr">
        <is>
          <t>Queen</t>
        </is>
      </c>
      <c r="F34" t="inlineStr">
        <is>
          <t>King</t>
        </is>
      </c>
      <c r="O34" s="8" t="inlineStr">
        <is>
          <t>Total</t>
        </is>
      </c>
      <c r="P34" s="9">
        <f>P31+P32+P33</f>
        <v/>
      </c>
      <c r="Q34" s="10">
        <f>P34*100</f>
        <v/>
      </c>
    </row>
    <row r="35">
      <c r="B35" t="inlineStr">
        <is>
          <t>J</t>
        </is>
      </c>
      <c r="C35" t="inlineStr">
        <is>
          <t>King</t>
        </is>
      </c>
      <c r="D35" t="inlineStr">
        <is>
          <t>Wolf</t>
        </is>
      </c>
      <c r="E35" t="inlineStr">
        <is>
          <t>K</t>
        </is>
      </c>
      <c r="F35" s="5" t="inlineStr">
        <is>
          <t>Wild</t>
        </is>
      </c>
    </row>
    <row r="36">
      <c r="B36" t="inlineStr">
        <is>
          <t>Wolf</t>
        </is>
      </c>
      <c r="C36" t="inlineStr">
        <is>
          <t>Q</t>
        </is>
      </c>
      <c r="D36" t="inlineStr">
        <is>
          <t>Q</t>
        </is>
      </c>
      <c r="E36" t="inlineStr">
        <is>
          <t>A</t>
        </is>
      </c>
      <c r="F36" t="inlineStr">
        <is>
          <t>A</t>
        </is>
      </c>
      <c r="O36" s="1" t="inlineStr">
        <is>
          <t>Hit Rate</t>
        </is>
      </c>
      <c r="P36" s="7" t="n">
        <v>0.3065</v>
      </c>
      <c r="Q36" s="6">
        <f>P36*100</f>
        <v/>
      </c>
    </row>
    <row r="37">
      <c r="B37" t="inlineStr">
        <is>
          <t>J</t>
        </is>
      </c>
      <c r="C37" t="inlineStr">
        <is>
          <t>J</t>
        </is>
      </c>
      <c r="D37" t="inlineStr">
        <is>
          <t>Queen</t>
        </is>
      </c>
      <c r="E37" t="inlineStr">
        <is>
          <t>Queen</t>
        </is>
      </c>
      <c r="F37" t="inlineStr">
        <is>
          <t>Queen</t>
        </is>
      </c>
      <c r="O37" s="11" t="inlineStr">
        <is>
          <t>(exact)</t>
        </is>
      </c>
    </row>
    <row r="38">
      <c r="B38" t="inlineStr">
        <is>
          <t>K</t>
        </is>
      </c>
      <c r="C38" t="inlineStr">
        <is>
          <t>Wolf</t>
        </is>
      </c>
      <c r="D38" t="inlineStr">
        <is>
          <t>K</t>
        </is>
      </c>
      <c r="E38" t="inlineStr">
        <is>
          <t>King</t>
        </is>
      </c>
      <c r="F38" t="inlineStr">
        <is>
          <t>Q</t>
        </is>
      </c>
    </row>
    <row r="39">
      <c r="B39" t="inlineStr">
        <is>
          <t>J</t>
        </is>
      </c>
      <c r="C39" t="inlineStr">
        <is>
          <t>Q</t>
        </is>
      </c>
      <c r="D39" t="inlineStr">
        <is>
          <t>Q</t>
        </is>
      </c>
      <c r="E39" s="5" t="inlineStr">
        <is>
          <t>Wild</t>
        </is>
      </c>
      <c r="F39" t="inlineStr">
        <is>
          <t>Queen</t>
        </is>
      </c>
    </row>
    <row r="40">
      <c r="B40" t="inlineStr">
        <is>
          <t>Wolf</t>
        </is>
      </c>
      <c r="C40" t="inlineStr">
        <is>
          <t>A</t>
        </is>
      </c>
      <c r="D40" t="inlineStr">
        <is>
          <t>J</t>
        </is>
      </c>
      <c r="E40" t="inlineStr">
        <is>
          <t>Queen</t>
        </is>
      </c>
      <c r="F40" t="inlineStr">
        <is>
          <t>A</t>
        </is>
      </c>
    </row>
    <row r="41">
      <c r="B41" t="inlineStr">
        <is>
          <t>A</t>
        </is>
      </c>
      <c r="C41" t="inlineStr">
        <is>
          <t>Q</t>
        </is>
      </c>
      <c r="D41" t="inlineStr">
        <is>
          <t>King</t>
        </is>
      </c>
      <c r="E41" t="inlineStr">
        <is>
          <t>Wolf</t>
        </is>
      </c>
      <c r="F41" t="inlineStr">
        <is>
          <t>Q</t>
        </is>
      </c>
    </row>
    <row r="42">
      <c r="B42" t="inlineStr">
        <is>
          <t>Queen</t>
        </is>
      </c>
      <c r="C42" t="inlineStr">
        <is>
          <t>J</t>
        </is>
      </c>
      <c r="D42" t="inlineStr">
        <is>
          <t>K</t>
        </is>
      </c>
      <c r="E42" t="inlineStr">
        <is>
          <t>Queen</t>
        </is>
      </c>
      <c r="F42" t="inlineStr">
        <is>
          <t>J</t>
        </is>
      </c>
    </row>
    <row r="43">
      <c r="B43" t="inlineStr">
        <is>
          <t>Q</t>
        </is>
      </c>
      <c r="C43" t="inlineStr">
        <is>
          <t>K</t>
        </is>
      </c>
      <c r="D43" t="inlineStr">
        <is>
          <t>J</t>
        </is>
      </c>
      <c r="E43" t="inlineStr">
        <is>
          <t>J</t>
        </is>
      </c>
      <c r="F43" t="inlineStr">
        <is>
          <t>A</t>
        </is>
      </c>
    </row>
    <row r="44">
      <c r="B44" t="inlineStr">
        <is>
          <t>Queen</t>
        </is>
      </c>
      <c r="C44" t="inlineStr">
        <is>
          <t>Wolf</t>
        </is>
      </c>
      <c r="D44" t="inlineStr">
        <is>
          <t>A</t>
        </is>
      </c>
      <c r="E44" t="inlineStr">
        <is>
          <t>K</t>
        </is>
      </c>
      <c r="F44" t="inlineStr">
        <is>
          <t>J</t>
        </is>
      </c>
      <c r="H44" s="12" t="inlineStr">
        <is>
          <t>WILD PAY (Wild on grid)</t>
        </is>
      </c>
    </row>
    <row r="45">
      <c r="B45" t="inlineStr">
        <is>
          <t>Q</t>
        </is>
      </c>
      <c r="C45" t="inlineStr">
        <is>
          <t>Queen</t>
        </is>
      </c>
      <c r="D45" t="inlineStr">
        <is>
          <t>Q</t>
        </is>
      </c>
      <c r="E45" t="inlineStr">
        <is>
          <t>Q</t>
        </is>
      </c>
      <c r="F45" t="inlineStr">
        <is>
          <t>King</t>
        </is>
      </c>
      <c r="H45" s="3" t="inlineStr">
        <is>
          <t>Wilds</t>
        </is>
      </c>
      <c r="I45" s="3" t="inlineStr">
        <is>
          <t>P(k wilds)</t>
        </is>
      </c>
      <c r="J45" s="3" t="inlineStr">
        <is>
          <t>Combinations</t>
        </is>
      </c>
      <c r="K45" s="3" t="inlineStr">
        <is>
          <t>Wild Pay (xTBet)</t>
        </is>
      </c>
      <c r="L45" s="3" t="inlineStr">
        <is>
          <t>Wild Pay RTP</t>
        </is>
      </c>
    </row>
    <row r="46">
      <c r="B46" t="inlineStr">
        <is>
          <t>A</t>
        </is>
      </c>
      <c r="C46" t="inlineStr">
        <is>
          <t>K</t>
        </is>
      </c>
      <c r="D46" t="inlineStr">
        <is>
          <t>Queen</t>
        </is>
      </c>
      <c r="E46" t="inlineStr">
        <is>
          <t>J</t>
        </is>
      </c>
      <c r="F46" t="inlineStr">
        <is>
          <t>K</t>
        </is>
      </c>
      <c r="H46" t="n">
        <v>3</v>
      </c>
      <c r="I46" s="4">
        <f>O16</f>
        <v/>
      </c>
      <c r="J46" s="6">
        <f>I46*$F$3</f>
        <v/>
      </c>
      <c r="K46" s="6" t="n">
        <v>0</v>
      </c>
      <c r="L46" s="7">
        <f>I46*K46</f>
        <v/>
      </c>
    </row>
    <row r="47">
      <c r="B47" t="inlineStr">
        <is>
          <t>K</t>
        </is>
      </c>
      <c r="C47" t="inlineStr">
        <is>
          <t>Wolf</t>
        </is>
      </c>
      <c r="D47" t="inlineStr">
        <is>
          <t>King</t>
        </is>
      </c>
      <c r="E47" t="inlineStr">
        <is>
          <t>Q</t>
        </is>
      </c>
      <c r="F47" t="inlineStr">
        <is>
          <t>Wolf</t>
        </is>
      </c>
      <c r="H47" t="n">
        <v>4</v>
      </c>
      <c r="I47" s="4">
        <f>P16</f>
        <v/>
      </c>
      <c r="J47" s="6">
        <f>I47*$F$3</f>
        <v/>
      </c>
      <c r="K47" s="6" t="n">
        <v>0</v>
      </c>
      <c r="L47" s="7">
        <f>I47*K47</f>
        <v/>
      </c>
    </row>
    <row r="48">
      <c r="B48" t="inlineStr">
        <is>
          <t>Wolf</t>
        </is>
      </c>
      <c r="C48" t="inlineStr">
        <is>
          <t>Queen</t>
        </is>
      </c>
      <c r="D48" t="inlineStr">
        <is>
          <t>A</t>
        </is>
      </c>
      <c r="E48" t="inlineStr">
        <is>
          <t>J</t>
        </is>
      </c>
      <c r="F48" t="inlineStr">
        <is>
          <t>K</t>
        </is>
      </c>
      <c r="H48" t="n">
        <v>5</v>
      </c>
      <c r="I48" s="4">
        <f>Q16</f>
        <v/>
      </c>
      <c r="J48" s="6">
        <f>I48*$F$3</f>
        <v/>
      </c>
      <c r="K48" s="6" t="n">
        <v>0</v>
      </c>
      <c r="L48" s="7">
        <f>I48*K48</f>
        <v/>
      </c>
    </row>
    <row r="49">
      <c r="B49" t="inlineStr">
        <is>
          <t>J</t>
        </is>
      </c>
      <c r="C49" t="inlineStr">
        <is>
          <t>J</t>
        </is>
      </c>
      <c r="D49" t="inlineStr">
        <is>
          <t>Q</t>
        </is>
      </c>
      <c r="E49" t="inlineStr">
        <is>
          <t>K</t>
        </is>
      </c>
      <c r="F49" t="inlineStr">
        <is>
          <t>J</t>
        </is>
      </c>
      <c r="H49" s="1" t="inlineStr">
        <is>
          <t>Total Wild Pay</t>
        </is>
      </c>
      <c r="J49" s="6">
        <f>SUM(J46:J48)</f>
        <v/>
      </c>
      <c r="L49" s="7">
        <f>SUM(L46:L48)</f>
        <v/>
      </c>
    </row>
    <row r="50">
      <c r="B50" t="inlineStr">
        <is>
          <t>K</t>
        </is>
      </c>
      <c r="C50" t="inlineStr">
        <is>
          <t>Queen</t>
        </is>
      </c>
      <c r="D50" t="inlineStr">
        <is>
          <t>K</t>
        </is>
      </c>
      <c r="E50" t="inlineStr">
        <is>
          <t>A</t>
        </is>
      </c>
      <c r="F50" t="inlineStr">
        <is>
          <t>King</t>
        </is>
      </c>
    </row>
    <row r="51">
      <c r="H51" s="12" t="inlineStr">
        <is>
          <t>BONUS CHESTS</t>
        </is>
      </c>
    </row>
    <row r="52">
      <c r="H52" s="3" t="inlineStr">
        <is>
          <t>Tier</t>
        </is>
      </c>
      <c r="I52" s="3" t="inlineStr">
        <is>
          <t>Wilds</t>
        </is>
      </c>
      <c r="J52" s="3" t="inlineStr">
        <is>
          <t>Prizes (xTBet)</t>
        </is>
      </c>
      <c r="K52" s="3" t="inlineStr">
        <is>
          <t>Pool</t>
        </is>
      </c>
      <c r="L52" s="3" t="inlineStr">
        <is>
          <t>Skulls</t>
        </is>
      </c>
      <c r="M52" s="3" t="inlineStr">
        <is>
          <t>E[picks]</t>
        </is>
      </c>
      <c r="N52" s="3" t="inlineStr">
        <is>
          <t>EV bonus (xTBet)</t>
        </is>
      </c>
      <c r="O52" s="3" t="inlineStr">
        <is>
          <t>Bonus RTP</t>
        </is>
      </c>
      <c r="Q52" s="3" t="inlineStr">
        <is>
          <t>Wild Pay</t>
        </is>
      </c>
      <c r="R52" s="3" t="inlineStr">
        <is>
          <t>Bonus EV</t>
        </is>
      </c>
      <c r="S52" s="3" t="inlineStr">
        <is>
          <t>Total EV</t>
        </is>
      </c>
      <c r="T52" s="3" t="inlineStr">
        <is>
          <t>Expected</t>
        </is>
      </c>
      <c r="U52" s="3" t="inlineStr">
        <is>
          <t>Match?</t>
        </is>
      </c>
    </row>
    <row r="53">
      <c r="H53" t="n">
        <v>0</v>
      </c>
      <c r="I53" t="n">
        <v>3</v>
      </c>
      <c r="J53" t="inlineStr">
        <is>
          <t>30, 75, 150</t>
        </is>
      </c>
      <c r="K53" t="n">
        <v>255</v>
      </c>
      <c r="L53" t="n">
        <v>2</v>
      </c>
      <c r="M53" s="6">
        <f>(5-L53)/(L53+1)</f>
        <v/>
      </c>
      <c r="N53" s="6">
        <f>K53/(L53+1)</f>
        <v/>
      </c>
      <c r="O53" s="7">
        <f>I46*N53</f>
        <v/>
      </c>
      <c r="Q53" s="6">
        <f>K46</f>
        <v/>
      </c>
      <c r="R53" s="6">
        <f>N53</f>
        <v/>
      </c>
      <c r="S53" s="6">
        <f>Q53+R53</f>
        <v/>
      </c>
      <c r="T53" s="6" t="n">
        <v>83</v>
      </c>
      <c r="U53">
        <f>IF(ABS(S53-T53)&lt;0.01,"OK","FAIL")</f>
        <v/>
      </c>
    </row>
    <row r="54">
      <c r="H54" t="n">
        <v>1</v>
      </c>
      <c r="I54" t="n">
        <v>4</v>
      </c>
      <c r="J54" t="inlineStr">
        <is>
          <t>30, 60, 90, 120</t>
        </is>
      </c>
      <c r="K54" t="n">
        <v>300</v>
      </c>
      <c r="L54" t="n">
        <v>1</v>
      </c>
      <c r="M54" s="6">
        <f>(5-L54)/(L54+1)</f>
        <v/>
      </c>
      <c r="N54" s="6">
        <f>K54/(L54+1)</f>
        <v/>
      </c>
      <c r="O54" s="7">
        <f>I47*N54</f>
        <v/>
      </c>
      <c r="Q54" s="6">
        <f>K47</f>
        <v/>
      </c>
      <c r="R54" s="6">
        <f>N54</f>
        <v/>
      </c>
      <c r="S54" s="6">
        <f>Q54+R54</f>
        <v/>
      </c>
      <c r="T54" s="6" t="n">
        <v>171</v>
      </c>
      <c r="U54">
        <f>IF(ABS(S54-T54)&lt;0.01,"OK","FAIL")</f>
        <v/>
      </c>
    </row>
    <row r="55">
      <c r="H55" t="n">
        <v>2</v>
      </c>
      <c r="I55" t="n">
        <v>5</v>
      </c>
      <c r="J55" t="inlineStr">
        <is>
          <t>20, 40, 60, 80, 100</t>
        </is>
      </c>
      <c r="K55" t="n">
        <v>300</v>
      </c>
      <c r="L55" t="n">
        <v>0</v>
      </c>
      <c r="M55" s="6">
        <f>(5-L55)/(L55+1)</f>
        <v/>
      </c>
      <c r="N55" s="6">
        <f>K55/(L55+1)</f>
        <v/>
      </c>
      <c r="O55" s="7">
        <f>I48*N55</f>
        <v/>
      </c>
      <c r="Q55" s="6">
        <f>K48</f>
        <v/>
      </c>
      <c r="R55" s="6">
        <f>N55</f>
        <v/>
      </c>
      <c r="S55" s="6">
        <f>Q55+R55</f>
        <v/>
      </c>
      <c r="T55" s="6" t="n">
        <v>383</v>
      </c>
      <c r="U55">
        <f>IF(ABS(S55-T55)&lt;0.01,"OK","FAIL")</f>
        <v/>
      </c>
    </row>
    <row r="56">
      <c r="H56" s="1" t="inlineStr">
        <is>
          <t>Total Bonus</t>
        </is>
      </c>
      <c r="O56" s="7">
        <f>SUM(O53:O55)</f>
        <v/>
      </c>
    </row>
    <row r="58">
      <c r="H58" s="12" t="inlineStr">
        <is>
          <t>BUY BONUS</t>
        </is>
      </c>
    </row>
    <row r="59">
      <c r="H59" s="3" t="inlineStr">
        <is>
          <t>Tier</t>
        </is>
      </c>
      <c r="I59" s="3" t="inlineStr">
        <is>
          <t>Simulates</t>
        </is>
      </c>
      <c r="J59" s="3" t="inlineStr">
        <is>
          <t>EV total (xTBet)</t>
        </is>
      </c>
      <c r="K59" s="3" t="inlineStr">
        <is>
          <t>Price (xTBet)</t>
        </is>
      </c>
      <c r="L59" s="3" t="inlineStr">
        <is>
          <t>Buy RTP</t>
        </is>
      </c>
    </row>
    <row r="60">
      <c r="H60" t="inlineStr">
        <is>
          <t>Tier 1</t>
        </is>
      </c>
      <c r="I60" t="inlineStr">
        <is>
          <t>3 Wilds</t>
        </is>
      </c>
      <c r="J60" s="6">
        <f>S53</f>
        <v/>
      </c>
      <c r="K60" s="6" t="n">
        <v>88</v>
      </c>
      <c r="L60" s="7">
        <f>J60/K60</f>
        <v/>
      </c>
    </row>
    <row r="61">
      <c r="H61" t="inlineStr">
        <is>
          <t>Tier 2</t>
        </is>
      </c>
      <c r="I61" t="inlineStr">
        <is>
          <t>4 Wilds</t>
        </is>
      </c>
      <c r="J61" s="6">
        <f>S54</f>
        <v/>
      </c>
      <c r="K61" s="6" t="n">
        <v>180</v>
      </c>
      <c r="L61" s="7">
        <f>J61/K61</f>
        <v/>
      </c>
    </row>
    <row r="62">
      <c r="H62" t="inlineStr">
        <is>
          <t>Tier 3</t>
        </is>
      </c>
      <c r="I62" t="inlineStr">
        <is>
          <t>5 Wilds</t>
        </is>
      </c>
      <c r="J62" s="6">
        <f>S55</f>
        <v/>
      </c>
      <c r="K62" s="6" t="n">
        <v>403</v>
      </c>
      <c r="L62" s="7">
        <f>J62/K62</f>
        <v/>
      </c>
    </row>
    <row r="64">
      <c r="H64" s="12" t="inlineStr">
        <is>
          <t>VERIFICATIONS</t>
        </is>
      </c>
    </row>
    <row r="65">
      <c r="H65" s="3" t="inlineStr">
        <is>
          <t>Check</t>
        </is>
      </c>
      <c r="I65" s="3" t="inlineStr">
        <is>
          <t>Result</t>
        </is>
      </c>
    </row>
    <row r="66">
      <c r="H66" t="inlineStr">
        <is>
          <t>RTP total ~ 96.14%?</t>
        </is>
      </c>
      <c r="I66" s="1">
        <f>IF(ABS(P34-0.9614)&lt;0.002,"PASS","FAIL")</f>
        <v/>
      </c>
    </row>
    <row r="67">
      <c r="H67" t="inlineStr">
        <is>
          <t>WildPay+Bonus ~ 62.43%?</t>
        </is>
      </c>
      <c r="I67" s="1">
        <f>IF(ABS(P32+P33-0.6243)&lt;0.002,"PASS","FAIL")</f>
        <v/>
      </c>
    </row>
    <row r="68">
      <c r="H68" t="inlineStr">
        <is>
          <t>Line RTP ~ 33.71%?</t>
        </is>
      </c>
      <c r="I68" s="1">
        <f>IF(ABS(P31-0.3371)&lt;0.002,"PASS","FAIL")</f>
        <v/>
      </c>
    </row>
    <row r="69">
      <c r="H69" t="inlineStr">
        <is>
          <t>EV 3W = 83?</t>
        </is>
      </c>
      <c r="I69" s="1">
        <f>IF(ABS(S53-T53)&lt;0.01,"PASS","FAIL")</f>
        <v/>
      </c>
    </row>
    <row r="70">
      <c r="H70" t="inlineStr">
        <is>
          <t>EV 4W = 171?</t>
        </is>
      </c>
      <c r="I70" s="1">
        <f>IF(ABS(S54-T54)&lt;0.01,"PASS","FAIL")</f>
        <v/>
      </c>
    </row>
    <row r="71">
      <c r="H71" t="inlineStr">
        <is>
          <t>EV 5W = 383?</t>
        </is>
      </c>
      <c r="I71" s="1">
        <f>IF(ABS(S55-T55)&lt;0.01,"PASS","FAIL")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2026-02-22T17:39:09Z</dcterms:created>
  <dcterms:modified xsi:type="dcterms:W3CDTF">2026-03-11T17:41:03Z</dcterms:modified>
</cp:coreProperties>
</file>